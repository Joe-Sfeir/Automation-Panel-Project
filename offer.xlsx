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ffer" sheetId="1" state="visible" r:id="rId1"/>
    <sheet name="Pricing Detail" sheetId="2" state="hidden" r:id="rId2"/>
  </sheets>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0 [$€-1]"/>
    <numFmt numFmtId="167" formatCode="#,##0.00&quot;F.F.&quot;"/>
  </numFmts>
  <fonts count="9">
    <font>
      <name val="Calibri"/>
      <family val="2"/>
      <color theme="1"/>
      <sz val="11"/>
      <scheme val="minor"/>
    </font>
    <font>
      <name val="MS Sans Serif"/>
      <b val="1"/>
      <color rgb="00000000"/>
      <sz val="14"/>
    </font>
    <font>
      <name val="Arial"/>
      <b val="1"/>
      <color rgb="00000000"/>
      <sz val="12"/>
    </font>
    <font>
      <name val="Arial"/>
      <color rgb="00000000"/>
      <sz val="12"/>
    </font>
    <font>
      <name val="Arial"/>
      <b val="1"/>
      <i val="1"/>
      <color rgb="00000000"/>
      <sz val="12"/>
    </font>
    <font>
      <name val="MS Sans Serif"/>
      <b val="1"/>
      <color rgb="00000000"/>
      <sz val="12"/>
    </font>
    <font>
      <name val="Arial"/>
      <b val="1"/>
      <color rgb="00FFFFFF"/>
      <sz val="10"/>
    </font>
    <font>
      <name val="Arial"/>
      <sz val="10"/>
    </font>
    <font>
      <name val="Arial"/>
      <i val="1"/>
      <sz val="9"/>
    </font>
  </fonts>
  <fills count="7">
    <fill>
      <patternFill/>
    </fill>
    <fill>
      <patternFill patternType="gray125"/>
    </fill>
    <fill>
      <patternFill patternType="solid">
        <fgColor rgb="001F3864"/>
      </patternFill>
    </fill>
    <fill>
      <patternFill patternType="solid">
        <fgColor rgb="00D9D9D9"/>
      </patternFill>
    </fill>
    <fill>
      <patternFill patternType="solid">
        <fgColor rgb="00C6EFCE"/>
      </patternFill>
    </fill>
    <fill>
      <patternFill patternType="solid">
        <fgColor rgb="00FFEB9C"/>
      </patternFill>
    </fill>
    <fill>
      <patternFill patternType="solid">
        <fgColor rgb="00BDD7EE"/>
      </patternFill>
    </fill>
  </fills>
  <borders count="1">
    <border>
      <left/>
      <right/>
      <top/>
      <bottom/>
      <diagonal/>
    </border>
  </borders>
  <cellStyleXfs count="1">
    <xf numFmtId="0" fontId="0" fillId="0" borderId="0"/>
  </cellStyleXfs>
  <cellXfs count="21">
    <xf numFmtId="0" fontId="0" fillId="0" borderId="0" pivotButton="0" quotePrefix="0" xfId="0"/>
    <xf numFmtId="0" fontId="1" fillId="0" borderId="0" applyAlignment="1" pivotButton="0" quotePrefix="0" xfId="0">
      <alignment horizontal="general" vertical="center"/>
    </xf>
    <xf numFmtId="0" fontId="2" fillId="0" borderId="0" applyAlignment="1" pivotButton="0" quotePrefix="0" xfId="0">
      <alignment horizontal="general" vertical="center"/>
    </xf>
    <xf numFmtId="0" fontId="3" fillId="0" borderId="0" applyAlignment="1" pivotButton="0" quotePrefix="0" xfId="0">
      <alignment horizontal="general" vertical="center"/>
    </xf>
    <xf numFmtId="165" fontId="3" fillId="0" borderId="0" applyAlignment="1" pivotButton="0" quotePrefix="0" xfId="0">
      <alignment horizontal="general" vertical="center"/>
    </xf>
    <xf numFmtId="0" fontId="4" fillId="0" borderId="0" applyAlignment="1" pivotButton="0" quotePrefix="0" xfId="0">
      <alignment horizontal="general" vertical="center"/>
    </xf>
    <xf numFmtId="166" fontId="2" fillId="0" borderId="0" applyAlignment="1" pivotButton="0" quotePrefix="0" xfId="0">
      <alignment horizontal="center" vertical="center"/>
    </xf>
    <xf numFmtId="167" fontId="5" fillId="0" borderId="0" applyAlignment="1" pivotButton="0" quotePrefix="0" xfId="0">
      <alignment horizontal="right" vertical="center"/>
    </xf>
    <xf numFmtId="0" fontId="3" fillId="0" borderId="0" applyAlignment="1" pivotButton="0" quotePrefix="0" xfId="0">
      <alignment horizontal="center" vertical="center"/>
    </xf>
    <xf numFmtId="0" fontId="3" fillId="0" borderId="0" applyAlignment="1" pivotButton="0" quotePrefix="0" xfId="0">
      <alignment horizontal="general" vertical="center" wrapText="1"/>
    </xf>
    <xf numFmtId="0" fontId="6" fillId="2" borderId="0" applyAlignment="1" pivotButton="0" quotePrefix="0" xfId="0">
      <alignment horizontal="center" vertical="center"/>
    </xf>
    <xf numFmtId="0" fontId="7" fillId="3" borderId="0" pivotButton="0" quotePrefix="0" xfId="0"/>
    <xf numFmtId="0" fontId="7" fillId="3" borderId="0" applyAlignment="1" pivotButton="0" quotePrefix="0" xfId="0">
      <alignment horizontal="center"/>
    </xf>
    <xf numFmtId="4" fontId="7" fillId="3" borderId="0" applyAlignment="1" pivotButton="0" quotePrefix="0" xfId="0">
      <alignment horizontal="right"/>
    </xf>
    <xf numFmtId="0" fontId="7" fillId="4" borderId="0" pivotButton="0" quotePrefix="0" xfId="0"/>
    <xf numFmtId="0" fontId="7" fillId="4" borderId="0" applyAlignment="1" pivotButton="0" quotePrefix="0" xfId="0">
      <alignment horizontal="center"/>
    </xf>
    <xf numFmtId="4" fontId="7" fillId="4" borderId="0" applyAlignment="1" pivotButton="0" quotePrefix="0" xfId="0">
      <alignment horizontal="right"/>
    </xf>
    <xf numFmtId="0" fontId="8" fillId="4" borderId="0" pivotButton="0" quotePrefix="0" xfId="0"/>
    <xf numFmtId="0" fontId="8" fillId="5" borderId="0" pivotButton="0" quotePrefix="0" xfId="0"/>
    <xf numFmtId="0" fontId="8" fillId="6" borderId="0" pivotButton="0" quotePrefix="0" xfId="0"/>
    <xf numFmtId="0" fontId="8" fillId="3"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F66"/>
  <sheetViews>
    <sheetView workbookViewId="0">
      <selection activeCell="A1" sqref="A1"/>
    </sheetView>
  </sheetViews>
  <sheetFormatPr baseColWidth="8" defaultRowHeight="15"/>
  <cols>
    <col width="14.66" customWidth="1" min="1" max="1"/>
    <col width="1.88" customWidth="1" min="2" max="2"/>
    <col width="43.99" customWidth="1" min="3" max="3"/>
    <col width="22.99" customWidth="1" min="4" max="4"/>
    <col width="10.1" customWidth="1" min="5" max="5"/>
    <col width="24.43" customWidth="1" min="6" max="6"/>
  </cols>
  <sheetData>
    <row r="1" ht="15.6" customHeight="1">
      <c r="C1" s="1" t="inlineStr">
        <is>
          <t xml:space="preserve">MM </t>
        </is>
      </c>
    </row>
    <row r="4" ht="15.6" customHeight="1">
      <c r="C4" s="2" t="inlineStr">
        <is>
          <t xml:space="preserve">Att : </t>
        </is>
      </c>
      <c r="E4" s="3" t="inlineStr">
        <is>
          <t>Date :</t>
        </is>
      </c>
      <c r="F4" s="4" t="n">
        <v>46084</v>
      </c>
    </row>
    <row r="5" ht="15.6" customHeight="1">
      <c r="E5" s="3" t="inlineStr">
        <is>
          <t>Réf. :</t>
        </is>
      </c>
      <c r="F5" s="5" t="inlineStr">
        <is>
          <t>KORNET EL HAMRA</t>
        </is>
      </c>
    </row>
    <row r="7" ht="15.6" customHeight="1">
      <c r="C7" s="3" t="inlineStr">
        <is>
          <t>Dear Sir,</t>
        </is>
      </c>
    </row>
    <row r="9" ht="15.6" customHeight="1">
      <c r="C9" s="3" t="inlineStr">
        <is>
          <t xml:space="preserve">    As per to your request, please find hereunder our best offer for the supply of the</t>
        </is>
      </c>
    </row>
    <row r="10" ht="15.6" customHeight="1">
      <c r="C10" s="3" t="inlineStr">
        <is>
          <t>electrical panelboards listed below to serve your project.</t>
        </is>
      </c>
    </row>
    <row r="13" ht="15.6" customHeight="1">
      <c r="C13" s="2" t="inlineStr">
        <is>
          <t>ATS</t>
        </is>
      </c>
      <c r="F13" s="6" t="n">
        <v>1508.92</v>
      </c>
    </row>
    <row r="14" ht="15.6" customHeight="1">
      <c r="E14" s="7" t="inlineStr">
        <is>
          <t>TTC:</t>
        </is>
      </c>
      <c r="F14" s="6">
        <f>F13*1.11</f>
        <v/>
      </c>
    </row>
    <row r="15" ht="8.1" customHeight="1"/>
    <row r="16" ht="15.6" customHeight="1">
      <c r="C16" s="3" t="inlineStr">
        <is>
          <t>MCCB MCCB 100AF 100A 4P</t>
        </is>
      </c>
      <c r="D16" s="8" t="inlineStr">
        <is>
          <t>SCHNEIDER</t>
        </is>
      </c>
      <c r="F16" s="8" t="n">
        <v>2</v>
      </c>
    </row>
    <row r="17" ht="15.6" customHeight="1">
      <c r="C17" s="3" t="inlineStr">
        <is>
          <t>KWH Meter</t>
        </is>
      </c>
      <c r="D17" s="8" t="inlineStr">
        <is>
          <t>SCHNEIDER</t>
        </is>
      </c>
      <c r="F17" s="8" t="n">
        <v>2</v>
      </c>
    </row>
    <row r="18" ht="15.6" customHeight="1">
      <c r="C18" s="3" t="inlineStr">
        <is>
          <t>Phase Failure Relay</t>
        </is>
      </c>
      <c r="D18" s="8" t="inlineStr">
        <is>
          <t>SCHNEIDER</t>
        </is>
      </c>
      <c r="F18" s="8" t="n">
        <v>2</v>
      </c>
    </row>
    <row r="19" ht="15.6" customHeight="1">
      <c r="C19" s="3" t="inlineStr">
        <is>
          <t>Contactor Contactor AC3 4x250A/AC3</t>
        </is>
      </c>
      <c r="D19" s="8" t="inlineStr">
        <is>
          <t>SCHNEIDER</t>
        </is>
      </c>
      <c r="F19" s="8" t="n">
        <v>8</v>
      </c>
    </row>
    <row r="20" ht="15.6" customHeight="1">
      <c r="C20" s="3" t="inlineStr">
        <is>
          <t>MCCB MCCB 250AF 200A 4P</t>
        </is>
      </c>
      <c r="D20" s="8" t="inlineStr">
        <is>
          <t>SCHNEIDER</t>
        </is>
      </c>
      <c r="F20" s="8" t="n">
        <v>1</v>
      </c>
    </row>
    <row r="21" ht="15.6" customHeight="1">
      <c r="C21" s="3" t="inlineStr">
        <is>
          <t>MCCB MCCB 400AF 250A 4P</t>
        </is>
      </c>
      <c r="D21" s="8" t="inlineStr">
        <is>
          <t>SCHNEIDER</t>
        </is>
      </c>
      <c r="F21" s="8" t="n">
        <v>1</v>
      </c>
    </row>
    <row r="22" ht="15.6" customHeight="1">
      <c r="C22" s="3" t="inlineStr">
        <is>
          <t>MCCB MCCB 160AF 125A 4P</t>
        </is>
      </c>
      <c r="D22" s="8" t="inlineStr">
        <is>
          <t>SCHNEIDER</t>
        </is>
      </c>
      <c r="F22" s="8" t="n">
        <v>1</v>
      </c>
    </row>
    <row r="23" ht="15.6" customHeight="1">
      <c r="C23" s="3" t="inlineStr">
        <is>
          <t>MCCB MCCB 400AF 250A 4P</t>
        </is>
      </c>
      <c r="D23" s="8" t="inlineStr">
        <is>
          <t>SCHNEIDER</t>
        </is>
      </c>
      <c r="F23" s="8" t="n">
        <v>1</v>
      </c>
    </row>
    <row r="24" ht="15.6" customHeight="1">
      <c r="C24" s="3" t="inlineStr">
        <is>
          <t>MCCB MCCB 160AF 150A 4P</t>
        </is>
      </c>
      <c r="D24" s="8" t="inlineStr">
        <is>
          <t>SCHNEIDER</t>
        </is>
      </c>
      <c r="F24" s="8" t="n">
        <v>1</v>
      </c>
    </row>
    <row r="25" ht="15.6" customHeight="1">
      <c r="C25" s="3" t="inlineStr">
        <is>
          <t>MCCB MCCB 80AF 70A 4P</t>
        </is>
      </c>
      <c r="D25" s="8" t="inlineStr">
        <is>
          <t>SCHNEIDER</t>
        </is>
      </c>
      <c r="F25" s="8" t="n">
        <v>1</v>
      </c>
    </row>
    <row r="26" ht="15.6" customHeight="1">
      <c r="C26" s="3" t="inlineStr">
        <is>
          <t>Switch Isolator Switch (IS) 4x250A</t>
        </is>
      </c>
      <c r="D26" s="8" t="inlineStr">
        <is>
          <t>SCHNEIDER</t>
        </is>
      </c>
      <c r="F26" s="8" t="n">
        <v>6</v>
      </c>
    </row>
    <row r="27" ht="15.6" customHeight="1">
      <c r="C27" s="3" t="inlineStr">
        <is>
          <t>Switch Manual Transfer Switch (MTS) 4x250A</t>
        </is>
      </c>
      <c r="D27" s="8" t="inlineStr">
        <is>
          <t>SCHNEIDER</t>
        </is>
      </c>
      <c r="F27" s="8" t="n">
        <v>6</v>
      </c>
    </row>
    <row r="28" ht="15.6" customHeight="1">
      <c r="C28" s="3" t="inlineStr">
        <is>
          <t>Surge Arrester Class B&amp;C</t>
        </is>
      </c>
      <c r="D28" s="8" t="inlineStr">
        <is>
          <t>DHEN</t>
        </is>
      </c>
      <c r="F28" s="8" t="n">
        <v>2</v>
      </c>
    </row>
    <row r="29" ht="15.6" customHeight="1">
      <c r="C29" s="3" t="inlineStr">
        <is>
          <t>Digital Power Meter</t>
        </is>
      </c>
      <c r="D29" s="8" t="inlineStr">
        <is>
          <t>SCHNEIDER</t>
        </is>
      </c>
      <c r="F29" s="8" t="n">
        <v>3</v>
      </c>
    </row>
    <row r="30" ht="15.6" customHeight="1">
      <c r="C30" s="3" t="inlineStr">
        <is>
          <t>Phase Relay</t>
        </is>
      </c>
      <c r="D30" s="8" t="inlineStr">
        <is>
          <t>SCHNEIDER</t>
        </is>
      </c>
      <c r="F30" s="8" t="n">
        <v>1</v>
      </c>
    </row>
    <row r="31" ht="15.6" customHeight="1">
      <c r="C31" s="3" t="inlineStr">
        <is>
          <t>Terminal 70mm²+</t>
        </is>
      </c>
      <c r="D31" s="8" t="inlineStr">
        <is>
          <t>PHOENIX</t>
        </is>
      </c>
      <c r="F31" s="8" t="n">
        <v>2</v>
      </c>
    </row>
    <row r="32" ht="8.1" customHeight="1"/>
    <row r="34" ht="15.6" customHeight="1">
      <c r="C34" s="3" t="inlineStr">
        <is>
          <t>Commercial Conditions:</t>
        </is>
      </c>
    </row>
    <row r="36" ht="15.6" customHeight="1">
      <c r="C36" s="2" t="inlineStr">
        <is>
          <t>B.1 Conditions of Sale</t>
        </is>
      </c>
    </row>
    <row r="37" ht="47.25" customHeight="1">
      <c r="C37" s="9" t="inlineStr">
        <is>
          <t>This quotation is submitted subject to TECHNICAT Group Conditions of Business. All prices have been offered in conjunction with these terms and conditions, and any deviation from these terms may result in the amendment of these prices.</t>
        </is>
      </c>
    </row>
    <row r="39" ht="15.6" customHeight="1">
      <c r="C39" s="2" t="inlineStr">
        <is>
          <t>B.2 Validity</t>
        </is>
      </c>
    </row>
    <row r="40" ht="35.25" customHeight="1">
      <c r="C40" s="9" t="inlineStr">
        <is>
          <t>The prices indicated are open for acceptance up till One Week from date of this proposal. Thereafter this date the tender will be subject to extensions or revisions.</t>
        </is>
      </c>
    </row>
    <row r="42" ht="15.6" customHeight="1">
      <c r="C42" s="2" t="inlineStr">
        <is>
          <t>B.3 Estimated Delivery</t>
        </is>
      </c>
    </row>
    <row r="43" ht="15.6" customHeight="1">
      <c r="C43" s="3" t="inlineStr">
        <is>
          <t>Based on current commitments:</t>
        </is>
      </c>
    </row>
    <row r="44" ht="15.6" customHeight="1">
      <c r="C44" s="3" t="inlineStr">
        <is>
          <t>* To be fixed later upon your priority schedule.</t>
        </is>
      </c>
    </row>
    <row r="45" ht="31.5" customHeight="1">
      <c r="C45" s="9" t="inlineStr">
        <is>
          <t>- Dispatch time is our best estimate at time of quotation, and will be confirmed upon receipt of order. This confirmed date would form our contractual offer of dispatch.</t>
        </is>
      </c>
    </row>
    <row r="46" ht="15.6" customHeight="1">
      <c r="C46" s="3" t="inlineStr">
        <is>
          <t>* Prices include transportation to the site.</t>
        </is>
      </c>
    </row>
    <row r="48" ht="15.6" customHeight="1">
      <c r="C48" s="2" t="inlineStr">
        <is>
          <t>B.4 Warranty</t>
        </is>
      </c>
    </row>
    <row r="49" ht="15.6" customHeight="1">
      <c r="C49" s="3" t="inlineStr">
        <is>
          <t>A total warranty against any fault in the assembly is provided.</t>
        </is>
      </c>
    </row>
    <row r="51" ht="15.6" customHeight="1">
      <c r="C51" s="2" t="inlineStr">
        <is>
          <t>B.5 Payment</t>
        </is>
      </c>
    </row>
    <row r="52" ht="15.6" customHeight="1">
      <c r="C52" s="3" t="inlineStr">
        <is>
          <t>* CASH PAYMENT.</t>
        </is>
      </c>
    </row>
    <row r="59" ht="15.6" customHeight="1">
      <c r="B59" s="3" t="inlineStr">
        <is>
          <t>We trust the above shall meet your acceptance and look forward to hear from you soon.</t>
        </is>
      </c>
    </row>
    <row r="61" ht="15.6" customHeight="1">
      <c r="B61" s="3" t="inlineStr">
        <is>
          <t>Sincerely Yours</t>
        </is>
      </c>
    </row>
    <row r="65" ht="15.6" customHeight="1">
      <c r="C65" s="3" t="inlineStr">
        <is>
          <t>ELIE BOU SERHAL</t>
        </is>
      </c>
    </row>
    <row r="66" ht="15.6" customHeight="1">
      <c r="C66" s="3" t="inlineStr">
        <is>
          <t>Electrical Eng.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20" customWidth="1" min="1" max="1"/>
    <col width="50" customWidth="1" min="2" max="2"/>
    <col width="15" customWidth="1" min="3" max="3"/>
    <col width="6" customWidth="1" min="4" max="4"/>
    <col width="17" customWidth="1" min="5" max="5"/>
    <col width="17" customWidth="1" min="6" max="6"/>
    <col width="12" customWidth="1" min="7" max="7"/>
    <col width="22" customWidth="1" min="8" max="8"/>
  </cols>
  <sheetData>
    <row r="1" ht="22" customHeight="1">
      <c r="A1" s="10" t="inlineStr">
        <is>
          <t>Panel</t>
        </is>
      </c>
      <c r="B1" s="10" t="inlineStr">
        <is>
          <t>Description</t>
        </is>
      </c>
      <c r="C1" s="10" t="inlineStr">
        <is>
          <t>Brand</t>
        </is>
      </c>
      <c r="D1" s="10" t="inlineStr">
        <is>
          <t>Qty</t>
        </is>
      </c>
      <c r="E1" s="10" t="inlineStr">
        <is>
          <t>Unit Price (EUR)</t>
        </is>
      </c>
      <c r="F1" s="10" t="inlineStr">
        <is>
          <t>Total (EUR)</t>
        </is>
      </c>
      <c r="G1" s="10" t="inlineStr">
        <is>
          <t>Match Tier</t>
        </is>
      </c>
      <c r="H1" s="10" t="inlineStr">
        <is>
          <t>Matched Ref</t>
        </is>
      </c>
    </row>
    <row r="2">
      <c r="A2" s="11" t="inlineStr">
        <is>
          <t>ATS</t>
        </is>
      </c>
      <c r="B2" s="11" t="inlineStr">
        <is>
          <t>MCCB MCCB 100AF 100A 4P</t>
        </is>
      </c>
      <c r="C2" s="12" t="inlineStr">
        <is>
          <t>SCHNEIDER</t>
        </is>
      </c>
      <c r="D2" s="12" t="n">
        <v>2</v>
      </c>
      <c r="E2" s="13" t="n">
        <v>0</v>
      </c>
      <c r="F2" s="13" t="n">
        <v>0</v>
      </c>
      <c r="G2" s="12" t="inlineStr">
        <is>
          <t>NF</t>
        </is>
      </c>
      <c r="H2" s="12" t="inlineStr"/>
    </row>
    <row r="3">
      <c r="A3" s="14" t="inlineStr">
        <is>
          <t>ATS</t>
        </is>
      </c>
      <c r="B3" s="14" t="inlineStr">
        <is>
          <t>KWH Meter</t>
        </is>
      </c>
      <c r="C3" s="15" t="inlineStr">
        <is>
          <t>SCHNEIDER</t>
        </is>
      </c>
      <c r="D3" s="15" t="n">
        <v>2</v>
      </c>
      <c r="E3" s="16" t="n">
        <v>259.67</v>
      </c>
      <c r="F3" s="16" t="n">
        <v>519.34</v>
      </c>
      <c r="G3" s="15" t="inlineStr">
        <is>
          <t>T1</t>
        </is>
      </c>
      <c r="H3" s="15" t="inlineStr">
        <is>
          <t>A9MEM3215</t>
        </is>
      </c>
    </row>
    <row r="4">
      <c r="A4" s="14" t="inlineStr">
        <is>
          <t>ATS</t>
        </is>
      </c>
      <c r="B4" s="14" t="inlineStr">
        <is>
          <t>Phase Failure Relay</t>
        </is>
      </c>
      <c r="C4" s="15" t="inlineStr">
        <is>
          <t>SCHNEIDER</t>
        </is>
      </c>
      <c r="D4" s="15" t="n">
        <v>2</v>
      </c>
      <c r="E4" s="16" t="n">
        <v>59.45</v>
      </c>
      <c r="F4" s="16" t="n">
        <v>118.9</v>
      </c>
      <c r="G4" s="15" t="inlineStr">
        <is>
          <t>T1</t>
        </is>
      </c>
      <c r="H4" s="15" t="inlineStr">
        <is>
          <t>RM22TG20</t>
        </is>
      </c>
    </row>
    <row r="5">
      <c r="A5" s="11" t="inlineStr">
        <is>
          <t>ATS</t>
        </is>
      </c>
      <c r="B5" s="11" t="inlineStr">
        <is>
          <t>Contactor Contactor AC3 4x250A/AC3</t>
        </is>
      </c>
      <c r="C5" s="12" t="inlineStr">
        <is>
          <t>SCHNEIDER</t>
        </is>
      </c>
      <c r="D5" s="12" t="n">
        <v>8</v>
      </c>
      <c r="E5" s="13" t="n">
        <v>0</v>
      </c>
      <c r="F5" s="13" t="n">
        <v>0</v>
      </c>
      <c r="G5" s="12" t="inlineStr">
        <is>
          <t>NF</t>
        </is>
      </c>
      <c r="H5" s="12" t="inlineStr"/>
    </row>
    <row r="6">
      <c r="A6" s="11" t="inlineStr">
        <is>
          <t>ATS</t>
        </is>
      </c>
      <c r="B6" s="11" t="inlineStr">
        <is>
          <t>MCCB MCCB 250AF 200A 4P</t>
        </is>
      </c>
      <c r="C6" s="12" t="inlineStr">
        <is>
          <t>SCHNEIDER</t>
        </is>
      </c>
      <c r="D6" s="12" t="n">
        <v>1</v>
      </c>
      <c r="E6" s="13" t="n">
        <v>0</v>
      </c>
      <c r="F6" s="13" t="n">
        <v>0</v>
      </c>
      <c r="G6" s="12" t="inlineStr">
        <is>
          <t>NF</t>
        </is>
      </c>
      <c r="H6" s="12" t="inlineStr"/>
    </row>
    <row r="7">
      <c r="A7" s="11" t="inlineStr">
        <is>
          <t>ATS</t>
        </is>
      </c>
      <c r="B7" s="11" t="inlineStr">
        <is>
          <t>MCCB MCCB 400AF 250A 4P</t>
        </is>
      </c>
      <c r="C7" s="12" t="inlineStr">
        <is>
          <t>SCHNEIDER</t>
        </is>
      </c>
      <c r="D7" s="12" t="n">
        <v>1</v>
      </c>
      <c r="E7" s="13" t="n">
        <v>0</v>
      </c>
      <c r="F7" s="13" t="n">
        <v>0</v>
      </c>
      <c r="G7" s="12" t="inlineStr">
        <is>
          <t>NF</t>
        </is>
      </c>
      <c r="H7" s="12" t="inlineStr"/>
    </row>
    <row r="8">
      <c r="A8" s="11" t="inlineStr">
        <is>
          <t>ATS</t>
        </is>
      </c>
      <c r="B8" s="11" t="inlineStr">
        <is>
          <t>MCCB MCCB 160AF 125A 4P</t>
        </is>
      </c>
      <c r="C8" s="12" t="inlineStr">
        <is>
          <t>SCHNEIDER</t>
        </is>
      </c>
      <c r="D8" s="12" t="n">
        <v>1</v>
      </c>
      <c r="E8" s="13" t="n">
        <v>0</v>
      </c>
      <c r="F8" s="13" t="n">
        <v>0</v>
      </c>
      <c r="G8" s="12" t="inlineStr">
        <is>
          <t>NF</t>
        </is>
      </c>
      <c r="H8" s="12" t="inlineStr"/>
    </row>
    <row r="9">
      <c r="A9" s="11" t="inlineStr">
        <is>
          <t>ATS</t>
        </is>
      </c>
      <c r="B9" s="11" t="inlineStr">
        <is>
          <t>MCCB MCCB 400AF 250A 4P</t>
        </is>
      </c>
      <c r="C9" s="12" t="inlineStr">
        <is>
          <t>SCHNEIDER</t>
        </is>
      </c>
      <c r="D9" s="12" t="n">
        <v>1</v>
      </c>
      <c r="E9" s="13" t="n">
        <v>0</v>
      </c>
      <c r="F9" s="13" t="n">
        <v>0</v>
      </c>
      <c r="G9" s="12" t="inlineStr">
        <is>
          <t>NF</t>
        </is>
      </c>
      <c r="H9" s="12" t="inlineStr"/>
    </row>
    <row r="10">
      <c r="A10" s="11" t="inlineStr">
        <is>
          <t>ATS</t>
        </is>
      </c>
      <c r="B10" s="11" t="inlineStr">
        <is>
          <t>MCCB MCCB 160AF 150A 4P</t>
        </is>
      </c>
      <c r="C10" s="12" t="inlineStr">
        <is>
          <t>SCHNEIDER</t>
        </is>
      </c>
      <c r="D10" s="12" t="n">
        <v>1</v>
      </c>
      <c r="E10" s="13" t="n">
        <v>0</v>
      </c>
      <c r="F10" s="13" t="n">
        <v>0</v>
      </c>
      <c r="G10" s="12" t="inlineStr">
        <is>
          <t>NF</t>
        </is>
      </c>
      <c r="H10" s="12" t="inlineStr"/>
    </row>
    <row r="11">
      <c r="A11" s="11" t="inlineStr">
        <is>
          <t>ATS</t>
        </is>
      </c>
      <c r="B11" s="11" t="inlineStr">
        <is>
          <t>MCCB MCCB 80AF 70A 4P</t>
        </is>
      </c>
      <c r="C11" s="12" t="inlineStr">
        <is>
          <t>SCHNEIDER</t>
        </is>
      </c>
      <c r="D11" s="12" t="n">
        <v>1</v>
      </c>
      <c r="E11" s="13" t="n">
        <v>0</v>
      </c>
      <c r="F11" s="13" t="n">
        <v>0</v>
      </c>
      <c r="G11" s="12" t="inlineStr">
        <is>
          <t>NF</t>
        </is>
      </c>
      <c r="H11" s="12" t="inlineStr"/>
    </row>
    <row r="12">
      <c r="A12" s="11" t="inlineStr">
        <is>
          <t>ATS</t>
        </is>
      </c>
      <c r="B12" s="11" t="inlineStr">
        <is>
          <t>Switch Isolator Switch (IS) 4x250A</t>
        </is>
      </c>
      <c r="C12" s="12" t="inlineStr">
        <is>
          <t>SCHNEIDER</t>
        </is>
      </c>
      <c r="D12" s="12" t="n">
        <v>6</v>
      </c>
      <c r="E12" s="13" t="n">
        <v>0</v>
      </c>
      <c r="F12" s="13" t="n">
        <v>0</v>
      </c>
      <c r="G12" s="12" t="inlineStr">
        <is>
          <t>NF</t>
        </is>
      </c>
      <c r="H12" s="12" t="inlineStr"/>
    </row>
    <row r="13">
      <c r="A13" s="11" t="inlineStr">
        <is>
          <t>ATS</t>
        </is>
      </c>
      <c r="B13" s="11" t="inlineStr">
        <is>
          <t>Switch Manual Transfer Switch (MTS) 4x250A</t>
        </is>
      </c>
      <c r="C13" s="12" t="inlineStr">
        <is>
          <t>SCHNEIDER</t>
        </is>
      </c>
      <c r="D13" s="12" t="n">
        <v>6</v>
      </c>
      <c r="E13" s="13" t="n">
        <v>0</v>
      </c>
      <c r="F13" s="13" t="n">
        <v>0</v>
      </c>
      <c r="G13" s="12" t="inlineStr">
        <is>
          <t>NF</t>
        </is>
      </c>
      <c r="H13" s="12" t="inlineStr"/>
    </row>
    <row r="14">
      <c r="A14" s="11" t="inlineStr">
        <is>
          <t>ATS</t>
        </is>
      </c>
      <c r="B14" s="11" t="inlineStr">
        <is>
          <t>Surge Arrester Class B&amp;C</t>
        </is>
      </c>
      <c r="C14" s="12" t="inlineStr">
        <is>
          <t>DHEN</t>
        </is>
      </c>
      <c r="D14" s="12" t="n">
        <v>2</v>
      </c>
      <c r="E14" s="13" t="n">
        <v>0</v>
      </c>
      <c r="F14" s="13" t="n">
        <v>0</v>
      </c>
      <c r="G14" s="12" t="inlineStr">
        <is>
          <t>NF</t>
        </is>
      </c>
      <c r="H14" s="12" t="inlineStr"/>
    </row>
    <row r="15">
      <c r="A15" s="14" t="inlineStr">
        <is>
          <t>ATS</t>
        </is>
      </c>
      <c r="B15" s="14" t="inlineStr">
        <is>
          <t>Digital Power Meter</t>
        </is>
      </c>
      <c r="C15" s="15" t="inlineStr">
        <is>
          <t>SCHNEIDER</t>
        </is>
      </c>
      <c r="D15" s="15" t="n">
        <v>3</v>
      </c>
      <c r="E15" s="16" t="n">
        <v>270.41</v>
      </c>
      <c r="F15" s="16" t="n">
        <v>811.23</v>
      </c>
      <c r="G15" s="15" t="inlineStr">
        <is>
          <t>T1</t>
        </is>
      </c>
      <c r="H15" s="15" t="inlineStr">
        <is>
          <t>METSEPM2210</t>
        </is>
      </c>
    </row>
    <row r="16">
      <c r="A16" s="14" t="inlineStr">
        <is>
          <t>ATS</t>
        </is>
      </c>
      <c r="B16" s="14" t="inlineStr">
        <is>
          <t>Phase Relay</t>
        </is>
      </c>
      <c r="C16" s="15" t="inlineStr">
        <is>
          <t>SCHNEIDER</t>
        </is>
      </c>
      <c r="D16" s="15" t="n">
        <v>1</v>
      </c>
      <c r="E16" s="16" t="n">
        <v>59.45</v>
      </c>
      <c r="F16" s="16" t="n">
        <v>59.45</v>
      </c>
      <c r="G16" s="15" t="inlineStr">
        <is>
          <t>T1</t>
        </is>
      </c>
      <c r="H16" s="15" t="inlineStr">
        <is>
          <t>RM22TG20</t>
        </is>
      </c>
    </row>
    <row r="17">
      <c r="A17" s="11" t="inlineStr">
        <is>
          <t>ATS</t>
        </is>
      </c>
      <c r="B17" s="11" t="inlineStr">
        <is>
          <t>Terminal 70mm²+</t>
        </is>
      </c>
      <c r="C17" s="12" t="inlineStr">
        <is>
          <t>PHOENIX</t>
        </is>
      </c>
      <c r="D17" s="12" t="n">
        <v>2</v>
      </c>
      <c r="E17" s="13" t="n">
        <v>0</v>
      </c>
      <c r="F17" s="13" t="n">
        <v>0</v>
      </c>
      <c r="G17" s="12" t="inlineStr">
        <is>
          <t>NF</t>
        </is>
      </c>
      <c r="H17" s="12" t="inlineStr"/>
    </row>
    <row r="19">
      <c r="A19" s="17" t="inlineStr">
        <is>
          <t>T1 = Keyword match (&gt;=60%)</t>
        </is>
      </c>
    </row>
    <row r="20">
      <c r="A20" s="18" t="inlineStr">
        <is>
          <t>T2 = AI matched</t>
        </is>
      </c>
    </row>
    <row r="21">
      <c r="A21" s="19" t="inlineStr">
        <is>
          <t>T3 = Size substituted</t>
        </is>
      </c>
    </row>
    <row r="22">
      <c r="A22" s="20" t="inlineStr">
        <is>
          <t>NF = Not found in DB</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2026-03-03T12:06:07Z</dcterms:created>
  <dcterms:modified xsi:type="dcterms:W3CDTF">2026-03-03T12:06:07Z</dcterms:modified>
</cp:coreProperties>
</file>